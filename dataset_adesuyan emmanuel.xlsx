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 firstSheet="4" activeTab="8"/>
  </bookViews>
  <sheets>
    <sheet name="Sheet1" sheetId="1" r:id="rId1"/>
    <sheet name="FORMULA FUDAMENTALS" sheetId="2" r:id="rId2"/>
    <sheet name="TAX RATE" sheetId="3" r:id="rId3"/>
    <sheet name="ORDER OF OPERATION" sheetId="4" r:id="rId4"/>
    <sheet name="BASIC FUNCTION" sheetId="5" r:id="rId5"/>
    <sheet name="conditional funtion" sheetId="6" r:id="rId6"/>
    <sheet name="TEXT FUNCTION" sheetId="7" r:id="rId7"/>
    <sheet name="LOGICAL FUNCTION SHEET" sheetId="8" r:id="rId8"/>
    <sheet name="lookup funtion" sheetId="9" r:id="rId9"/>
  </sheets>
  <calcPr calcId="124519"/>
</workbook>
</file>

<file path=xl/calcChain.xml><?xml version="1.0" encoding="utf-8"?>
<calcChain xmlns="http://schemas.openxmlformats.org/spreadsheetml/2006/main">
  <c r="D3" i="9"/>
  <c r="C23" i="8"/>
  <c r="C19"/>
  <c r="C15"/>
  <c r="C5"/>
  <c r="C4"/>
  <c r="C2"/>
  <c r="C3"/>
  <c r="A26" i="7"/>
  <c r="A23"/>
  <c r="A11"/>
  <c r="A19"/>
  <c r="A15"/>
  <c r="A7"/>
  <c r="F3" i="6"/>
  <c r="F2"/>
  <c r="E12" i="5"/>
  <c r="E11"/>
  <c r="E10"/>
  <c r="E9"/>
  <c r="E8"/>
  <c r="E7"/>
  <c r="E6"/>
  <c r="E5"/>
  <c r="E4"/>
  <c r="E3"/>
  <c r="E2"/>
  <c r="B5" i="4"/>
  <c r="B10" i="2"/>
  <c r="C6"/>
  <c r="D6"/>
  <c r="E6"/>
  <c r="B6"/>
  <c r="C5"/>
  <c r="D5"/>
  <c r="E5"/>
  <c r="B5"/>
  <c r="E4"/>
  <c r="E3"/>
</calcChain>
</file>

<file path=xl/sharedStrings.xml><?xml version="1.0" encoding="utf-8"?>
<sst xmlns="http://schemas.openxmlformats.org/spreadsheetml/2006/main" count="165" uniqueCount="68">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</sst>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selection activeCell="B5" sqref="B5:C5"/>
    </sheetView>
  </sheetViews>
  <sheetFormatPr defaultRowHeight="15"/>
  <cols>
    <col min="1" max="1" width="23" bestFit="1" customWidth="1"/>
    <col min="2" max="2" width="14.85546875" customWidth="1"/>
    <col min="3" max="3" width="9.28515625" bestFit="1" customWidth="1"/>
  </cols>
  <sheetData>
    <row r="1" spans="1:3">
      <c r="A1" s="1" t="s">
        <v>0</v>
      </c>
      <c r="B1" s="2"/>
      <c r="C1" s="2"/>
    </row>
    <row r="2" spans="1:3">
      <c r="A2" s="2" t="s">
        <v>1</v>
      </c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1" t="s">
        <v>2</v>
      </c>
      <c r="B5" s="2"/>
      <c r="C5" s="2"/>
    </row>
    <row r="6" spans="1:3">
      <c r="A6" s="2" t="s">
        <v>3</v>
      </c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1" t="s">
        <v>4</v>
      </c>
      <c r="B9" s="2"/>
      <c r="C9" s="2"/>
    </row>
    <row r="10" spans="1:3">
      <c r="A10" s="2" t="s">
        <v>5</v>
      </c>
      <c r="B10" s="2" t="s">
        <v>6</v>
      </c>
      <c r="C10" s="2" t="s">
        <v>7</v>
      </c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1" t="s">
        <v>8</v>
      </c>
      <c r="B13" s="2"/>
      <c r="C13" s="2"/>
    </row>
    <row r="14" spans="1:3">
      <c r="A14" s="2" t="s">
        <v>5</v>
      </c>
      <c r="B14" s="2" t="s">
        <v>6</v>
      </c>
      <c r="C14" s="2" t="s">
        <v>7</v>
      </c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1" t="s">
        <v>9</v>
      </c>
      <c r="B17" s="2"/>
      <c r="C17" s="2"/>
    </row>
    <row r="18" spans="1:3">
      <c r="A18" s="2" t="s">
        <v>5</v>
      </c>
      <c r="B18" s="2" t="s">
        <v>6</v>
      </c>
      <c r="C18" s="2" t="s">
        <v>7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1" t="s">
        <v>10</v>
      </c>
      <c r="B21" s="2"/>
      <c r="C21" s="2"/>
    </row>
    <row r="22" spans="1:3">
      <c r="A22" s="2" t="s">
        <v>11</v>
      </c>
      <c r="B22" s="2"/>
      <c r="C22" s="2"/>
    </row>
    <row r="23" spans="1:3">
      <c r="A23" s="2"/>
      <c r="B23" s="2"/>
      <c r="C23" s="2"/>
    </row>
    <row r="24" spans="1:3">
      <c r="A24" s="1" t="s">
        <v>12</v>
      </c>
      <c r="B24" s="2"/>
      <c r="C24" s="2"/>
    </row>
    <row r="25" spans="1:3">
      <c r="A25" s="2" t="s">
        <v>13</v>
      </c>
      <c r="B25" s="2"/>
      <c r="C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0"/>
  <sheetViews>
    <sheetView workbookViewId="0">
      <selection activeCell="B11" sqref="B11"/>
    </sheetView>
  </sheetViews>
  <sheetFormatPr defaultRowHeight="15"/>
  <cols>
    <col min="1" max="1" width="11.28515625" customWidth="1"/>
    <col min="3" max="3" width="15.5703125" customWidth="1"/>
    <col min="4" max="4" width="15.85546875" customWidth="1"/>
    <col min="6" max="6" width="10.28515625" customWidth="1"/>
  </cols>
  <sheetData>
    <row r="2" spans="1:7">
      <c r="A2" s="2"/>
      <c r="B2" s="1" t="s">
        <v>14</v>
      </c>
      <c r="C2" s="1" t="s">
        <v>15</v>
      </c>
      <c r="D2" s="1" t="s">
        <v>16</v>
      </c>
      <c r="E2" s="1" t="s">
        <v>17</v>
      </c>
      <c r="F2" s="2"/>
      <c r="G2" s="1" t="s">
        <v>18</v>
      </c>
    </row>
    <row r="3" spans="1:7">
      <c r="A3" s="1" t="s">
        <v>19</v>
      </c>
      <c r="B3" s="2">
        <v>10</v>
      </c>
      <c r="C3" s="2">
        <v>8</v>
      </c>
      <c r="D3" s="2">
        <v>5</v>
      </c>
      <c r="E3" s="2">
        <f>B3+C3+D3</f>
        <v>23</v>
      </c>
      <c r="F3" s="2"/>
      <c r="G3" s="3">
        <v>0.1</v>
      </c>
    </row>
    <row r="4" spans="1:7">
      <c r="A4" s="1" t="s">
        <v>20</v>
      </c>
      <c r="B4" s="2">
        <v>4</v>
      </c>
      <c r="C4" s="2">
        <v>3</v>
      </c>
      <c r="D4" s="2">
        <v>2</v>
      </c>
      <c r="E4" s="2">
        <f>B4+C4+D4</f>
        <v>9</v>
      </c>
      <c r="F4" s="5"/>
      <c r="G4" s="5"/>
    </row>
    <row r="5" spans="1:7">
      <c r="A5" s="1" t="s">
        <v>21</v>
      </c>
      <c r="B5" s="2">
        <f>B3-B4</f>
        <v>6</v>
      </c>
      <c r="C5" s="2">
        <f t="shared" ref="C5:E5" si="0">C3-C4</f>
        <v>5</v>
      </c>
      <c r="D5" s="2">
        <f t="shared" si="0"/>
        <v>3</v>
      </c>
      <c r="E5" s="2">
        <f t="shared" si="0"/>
        <v>14</v>
      </c>
      <c r="F5" s="5"/>
      <c r="G5" s="5"/>
    </row>
    <row r="6" spans="1:7">
      <c r="A6" s="1" t="s">
        <v>22</v>
      </c>
      <c r="B6" s="2">
        <f>B5*$G$3</f>
        <v>0.60000000000000009</v>
      </c>
      <c r="C6" s="2">
        <f t="shared" ref="C6:E6" si="1">C5*$G$3</f>
        <v>0.5</v>
      </c>
      <c r="D6" s="2">
        <f t="shared" si="1"/>
        <v>0.30000000000000004</v>
      </c>
      <c r="E6" s="2">
        <f t="shared" si="1"/>
        <v>1.4000000000000001</v>
      </c>
      <c r="F6" s="5"/>
      <c r="G6" s="5"/>
    </row>
    <row r="7" spans="1:7">
      <c r="A7" s="1"/>
      <c r="B7" s="2"/>
      <c r="C7" s="4"/>
      <c r="D7" s="2"/>
      <c r="E7" s="2"/>
      <c r="F7" s="5"/>
      <c r="G7" s="5"/>
    </row>
    <row r="8" spans="1:7">
      <c r="A8" s="2"/>
      <c r="B8" s="2"/>
      <c r="C8" s="4"/>
      <c r="D8" s="2"/>
      <c r="E8" s="2"/>
      <c r="F8" s="5"/>
      <c r="G8" s="5"/>
    </row>
    <row r="9" spans="1:7">
      <c r="A9" s="2"/>
      <c r="B9" s="2"/>
      <c r="C9" s="4"/>
      <c r="D9" s="2"/>
      <c r="E9" s="2"/>
      <c r="F9" s="5"/>
      <c r="G9" s="5"/>
    </row>
    <row r="10" spans="1:7">
      <c r="A10" s="1" t="s">
        <v>23</v>
      </c>
      <c r="B10" s="2">
        <f>E5/2</f>
        <v>7</v>
      </c>
      <c r="C10" s="4"/>
      <c r="D10" s="2"/>
      <c r="E10" s="2"/>
      <c r="F10" s="5"/>
      <c r="G10" s="5"/>
    </row>
  </sheetData>
  <mergeCells count="7">
    <mergeCell ref="F10:G10"/>
    <mergeCell ref="F4:G4"/>
    <mergeCell ref="F5:G5"/>
    <mergeCell ref="F6:G6"/>
    <mergeCell ref="F7:G7"/>
    <mergeCell ref="F8:G8"/>
    <mergeCell ref="F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D14" sqref="D14"/>
    </sheetView>
  </sheetViews>
  <sheetFormatPr defaultRowHeight="15"/>
  <sheetData>
    <row r="1" spans="1:1">
      <c r="A1" s="1" t="s">
        <v>18</v>
      </c>
    </row>
    <row r="2" spans="1:1">
      <c r="A2" s="3">
        <v>0.1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B6" sqref="B6"/>
    </sheetView>
  </sheetViews>
  <sheetFormatPr defaultRowHeight="15"/>
  <cols>
    <col min="1" max="1" width="33.5703125" customWidth="1"/>
    <col min="2" max="2" width="29" customWidth="1"/>
  </cols>
  <sheetData>
    <row r="1" spans="1:4">
      <c r="A1" s="2"/>
      <c r="B1" s="1" t="s">
        <v>14</v>
      </c>
      <c r="C1" s="2"/>
      <c r="D1" s="1" t="s">
        <v>18</v>
      </c>
    </row>
    <row r="2" spans="1:4">
      <c r="A2" s="1" t="s">
        <v>19</v>
      </c>
      <c r="B2" s="2">
        <v>10</v>
      </c>
      <c r="C2" s="2"/>
      <c r="D2" s="3">
        <v>0.1</v>
      </c>
    </row>
    <row r="3" spans="1:4">
      <c r="A3" s="1" t="s">
        <v>20</v>
      </c>
      <c r="B3" s="2">
        <v>4</v>
      </c>
      <c r="C3" s="2"/>
      <c r="D3" s="2"/>
    </row>
    <row r="4" spans="1:4">
      <c r="A4" s="1" t="s">
        <v>21</v>
      </c>
      <c r="B4" s="2">
        <v>6</v>
      </c>
      <c r="C4" s="2"/>
      <c r="D4" s="2"/>
    </row>
    <row r="5" spans="1:4">
      <c r="A5" s="1" t="s">
        <v>22</v>
      </c>
      <c r="B5" s="2">
        <f>(B2-B3)*D2</f>
        <v>0.60000000000000009</v>
      </c>
      <c r="C5" s="2"/>
      <c r="D5" s="2"/>
    </row>
    <row r="6" spans="1:4">
      <c r="A6" s="2"/>
      <c r="B6" s="2"/>
      <c r="C6" s="2"/>
      <c r="D6" s="2"/>
    </row>
    <row r="7" spans="1:4">
      <c r="A7" s="6" t="s">
        <v>24</v>
      </c>
      <c r="B7" s="2"/>
      <c r="C7" s="2"/>
      <c r="D7" s="2"/>
    </row>
    <row r="8" spans="1:4">
      <c r="A8" s="6" t="s">
        <v>25</v>
      </c>
      <c r="B8" s="2"/>
      <c r="C8" s="2"/>
      <c r="D8" s="2"/>
    </row>
    <row r="9" spans="1:4">
      <c r="A9" s="2" t="s">
        <v>26</v>
      </c>
      <c r="B9" s="2"/>
      <c r="C9" s="2"/>
      <c r="D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E13" sqref="E13"/>
    </sheetView>
  </sheetViews>
  <sheetFormatPr defaultRowHeight="15"/>
  <cols>
    <col min="1" max="1" width="19.140625" customWidth="1"/>
    <col min="2" max="2" width="19.42578125" customWidth="1"/>
    <col min="4" max="4" width="31.28515625" customWidth="1"/>
  </cols>
  <sheetData>
    <row r="1" spans="1:5">
      <c r="A1" s="1" t="s">
        <v>27</v>
      </c>
      <c r="B1" s="1" t="s">
        <v>28</v>
      </c>
      <c r="C1" s="5"/>
      <c r="D1" s="5"/>
    </row>
    <row r="2" spans="1:5">
      <c r="A2" s="2" t="s">
        <v>14</v>
      </c>
      <c r="B2" s="2">
        <v>97</v>
      </c>
      <c r="C2" s="2"/>
      <c r="D2" s="2" t="s">
        <v>29</v>
      </c>
      <c r="E2">
        <f>SUM(B2:B8)</f>
        <v>421</v>
      </c>
    </row>
    <row r="3" spans="1:5">
      <c r="A3" s="2" t="s">
        <v>15</v>
      </c>
      <c r="B3" s="2">
        <v>77</v>
      </c>
      <c r="C3" s="2"/>
      <c r="D3" s="2" t="s">
        <v>30</v>
      </c>
      <c r="E3">
        <f>MAX(B2:B8)</f>
        <v>97</v>
      </c>
    </row>
    <row r="4" spans="1:5">
      <c r="A4" s="2" t="s">
        <v>16</v>
      </c>
      <c r="B4" s="2">
        <v>67</v>
      </c>
      <c r="C4" s="2"/>
      <c r="D4" s="2" t="s">
        <v>31</v>
      </c>
      <c r="E4">
        <f>MIN(B2:B8)</f>
        <v>36</v>
      </c>
    </row>
    <row r="5" spans="1:5">
      <c r="A5" s="2" t="s">
        <v>32</v>
      </c>
      <c r="B5" s="2">
        <v>52</v>
      </c>
      <c r="C5" s="2"/>
      <c r="D5" s="2" t="s">
        <v>33</v>
      </c>
      <c r="E5">
        <f>LARGE(B2:B8,2)</f>
        <v>77</v>
      </c>
    </row>
    <row r="6" spans="1:5">
      <c r="A6" s="2" t="s">
        <v>34</v>
      </c>
      <c r="B6" s="2">
        <v>52</v>
      </c>
      <c r="C6" s="2"/>
      <c r="D6" s="2" t="s">
        <v>35</v>
      </c>
      <c r="E6">
        <f>SMALL(B2:B8,2)</f>
        <v>40</v>
      </c>
    </row>
    <row r="7" spans="1:5">
      <c r="A7" s="2" t="s">
        <v>36</v>
      </c>
      <c r="B7" s="2">
        <v>40</v>
      </c>
      <c r="C7" s="2"/>
      <c r="D7" s="2" t="s">
        <v>37</v>
      </c>
      <c r="E7">
        <f>COUNT(B2:B8)</f>
        <v>7</v>
      </c>
    </row>
    <row r="8" spans="1:5">
      <c r="A8" s="2" t="s">
        <v>38</v>
      </c>
      <c r="B8" s="2">
        <v>36</v>
      </c>
      <c r="C8" s="5"/>
      <c r="D8" s="5"/>
      <c r="E8">
        <f>COUNTA(A2:A8)</f>
        <v>7</v>
      </c>
    </row>
    <row r="9" spans="1:5">
      <c r="A9" s="2"/>
      <c r="B9" s="2"/>
      <c r="C9" s="5"/>
      <c r="D9" s="5"/>
      <c r="E9">
        <f>COUNTBLANK(A2:A9)</f>
        <v>1</v>
      </c>
    </row>
    <row r="10" spans="1:5">
      <c r="A10" s="2"/>
      <c r="B10" s="2"/>
      <c r="C10" s="2"/>
      <c r="D10" s="2" t="s">
        <v>39</v>
      </c>
      <c r="E10">
        <f>AVERAGE(B2:B8)</f>
        <v>60.142857142857146</v>
      </c>
    </row>
    <row r="11" spans="1:5">
      <c r="A11" s="2"/>
      <c r="B11" s="2"/>
      <c r="C11" s="2"/>
      <c r="D11" s="2" t="s">
        <v>40</v>
      </c>
      <c r="E11">
        <f>MEDIAN(B2:B8)</f>
        <v>52</v>
      </c>
    </row>
    <row r="12" spans="1:5">
      <c r="A12" s="2"/>
      <c r="B12" s="2"/>
      <c r="C12" s="2"/>
      <c r="D12" s="2" t="s">
        <v>41</v>
      </c>
      <c r="E12">
        <f>MODE(B2:B8)</f>
        <v>52</v>
      </c>
    </row>
  </sheetData>
  <mergeCells count="3">
    <mergeCell ref="C1:D1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F7" sqref="F7"/>
    </sheetView>
  </sheetViews>
  <sheetFormatPr defaultRowHeight="15"/>
  <cols>
    <col min="1" max="1" width="19.85546875" customWidth="1"/>
    <col min="2" max="2" width="15.42578125" customWidth="1"/>
    <col min="3" max="3" width="13.5703125" customWidth="1"/>
    <col min="5" max="5" width="16.5703125" customWidth="1"/>
  </cols>
  <sheetData>
    <row r="1" spans="1:6">
      <c r="A1" s="1" t="s">
        <v>27</v>
      </c>
      <c r="B1" s="1" t="s">
        <v>42</v>
      </c>
      <c r="C1" s="1" t="s">
        <v>28</v>
      </c>
      <c r="D1" s="2"/>
      <c r="E1" s="2"/>
    </row>
    <row r="2" spans="1:6">
      <c r="A2" s="2" t="s">
        <v>14</v>
      </c>
      <c r="B2" s="2" t="s">
        <v>43</v>
      </c>
      <c r="C2" s="2">
        <v>28</v>
      </c>
      <c r="D2" s="2"/>
      <c r="E2" s="2" t="s">
        <v>44</v>
      </c>
      <c r="F2">
        <f>SUMIF(B:B,B2,C:C)</f>
        <v>362</v>
      </c>
    </row>
    <row r="3" spans="1:6">
      <c r="A3" s="2" t="s">
        <v>15</v>
      </c>
      <c r="B3" s="2" t="s">
        <v>43</v>
      </c>
      <c r="C3" s="2">
        <v>32</v>
      </c>
      <c r="D3" s="2"/>
      <c r="E3" s="2" t="s">
        <v>45</v>
      </c>
      <c r="F3">
        <f>SUMIFS(C:C,B:B,B2,A:A,A2)</f>
        <v>28</v>
      </c>
    </row>
    <row r="4" spans="1:6">
      <c r="A4" s="2" t="s">
        <v>16</v>
      </c>
      <c r="B4" s="2" t="s">
        <v>43</v>
      </c>
      <c r="C4" s="2">
        <v>52</v>
      </c>
      <c r="D4" s="2"/>
      <c r="E4" s="2"/>
    </row>
    <row r="5" spans="1:6">
      <c r="A5" s="2" t="s">
        <v>32</v>
      </c>
      <c r="B5" s="2" t="s">
        <v>43</v>
      </c>
      <c r="C5" s="2">
        <v>67</v>
      </c>
      <c r="D5" s="2"/>
      <c r="E5" s="2"/>
    </row>
    <row r="6" spans="1:6">
      <c r="A6" s="2" t="s">
        <v>34</v>
      </c>
      <c r="B6" s="2" t="s">
        <v>43</v>
      </c>
      <c r="C6" s="2">
        <v>44</v>
      </c>
      <c r="D6" s="2"/>
      <c r="E6" s="2"/>
    </row>
    <row r="7" spans="1:6">
      <c r="A7" s="2" t="s">
        <v>36</v>
      </c>
      <c r="B7" s="2" t="s">
        <v>43</v>
      </c>
      <c r="C7" s="2">
        <v>39</v>
      </c>
      <c r="D7" s="2"/>
      <c r="E7" s="2" t="s">
        <v>46</v>
      </c>
    </row>
    <row r="8" spans="1:6">
      <c r="A8" s="2" t="s">
        <v>38</v>
      </c>
      <c r="B8" s="2" t="s">
        <v>43</v>
      </c>
      <c r="C8" s="2">
        <v>100</v>
      </c>
      <c r="D8" s="2"/>
      <c r="E8" s="2" t="s">
        <v>47</v>
      </c>
    </row>
    <row r="9" spans="1:6">
      <c r="A9" s="2" t="s">
        <v>14</v>
      </c>
      <c r="B9" s="2" t="s">
        <v>48</v>
      </c>
      <c r="C9" s="2">
        <v>75</v>
      </c>
      <c r="D9" s="2"/>
      <c r="E9" s="2" t="s">
        <v>49</v>
      </c>
    </row>
    <row r="10" spans="1:6">
      <c r="A10" s="2" t="s">
        <v>15</v>
      </c>
      <c r="B10" s="2" t="s">
        <v>48</v>
      </c>
      <c r="C10" s="2">
        <v>32</v>
      </c>
      <c r="D10" s="2"/>
      <c r="E10" s="2" t="s">
        <v>50</v>
      </c>
    </row>
    <row r="11" spans="1:6">
      <c r="A11" s="2" t="s">
        <v>16</v>
      </c>
      <c r="B11" s="2" t="s">
        <v>48</v>
      </c>
      <c r="C11" s="2">
        <v>40</v>
      </c>
      <c r="D11" s="2"/>
      <c r="E11" s="2" t="s">
        <v>51</v>
      </c>
    </row>
    <row r="12" spans="1:6">
      <c r="A12" s="2" t="s">
        <v>32</v>
      </c>
      <c r="B12" s="2" t="s">
        <v>48</v>
      </c>
      <c r="C12" s="2">
        <v>21</v>
      </c>
      <c r="D12" s="2"/>
      <c r="E12" s="2" t="s">
        <v>52</v>
      </c>
    </row>
    <row r="13" spans="1:6">
      <c r="A13" s="2" t="s">
        <v>34</v>
      </c>
      <c r="B13" s="2" t="s">
        <v>48</v>
      </c>
      <c r="C13" s="2">
        <v>58</v>
      </c>
      <c r="D13" s="2"/>
      <c r="E13" s="2"/>
    </row>
    <row r="14" spans="1:6">
      <c r="A14" s="2" t="s">
        <v>36</v>
      </c>
      <c r="B14" s="2" t="s">
        <v>48</v>
      </c>
      <c r="C14" s="2">
        <v>21</v>
      </c>
      <c r="D14" s="2"/>
      <c r="E14" s="2"/>
    </row>
    <row r="15" spans="1:6">
      <c r="A15" s="2" t="s">
        <v>38</v>
      </c>
      <c r="B15" s="2" t="s">
        <v>48</v>
      </c>
      <c r="C15" s="2">
        <v>54</v>
      </c>
      <c r="D15" s="2"/>
      <c r="E15" s="2"/>
    </row>
    <row r="16" spans="1:6">
      <c r="A16" s="2" t="s">
        <v>14</v>
      </c>
      <c r="B16" s="2" t="s">
        <v>53</v>
      </c>
      <c r="C16" s="2">
        <v>55</v>
      </c>
      <c r="D16" s="2"/>
      <c r="E16" s="2"/>
    </row>
    <row r="17" spans="1:5">
      <c r="A17" s="2" t="s">
        <v>15</v>
      </c>
      <c r="B17" s="2" t="s">
        <v>53</v>
      </c>
      <c r="C17" s="2">
        <v>41</v>
      </c>
      <c r="D17" s="2"/>
      <c r="E17" s="2"/>
    </row>
    <row r="18" spans="1:5">
      <c r="A18" s="2" t="s">
        <v>16</v>
      </c>
      <c r="B18" s="2" t="s">
        <v>53</v>
      </c>
      <c r="C18" s="2">
        <v>92</v>
      </c>
      <c r="D18" s="2"/>
      <c r="E18" s="2"/>
    </row>
    <row r="19" spans="1:5">
      <c r="A19" s="2" t="s">
        <v>32</v>
      </c>
      <c r="B19" s="2" t="s">
        <v>53</v>
      </c>
      <c r="C19" s="2">
        <v>89</v>
      </c>
      <c r="D19" s="2"/>
      <c r="E19" s="2"/>
    </row>
    <row r="20" spans="1:5">
      <c r="A20" s="2" t="s">
        <v>34</v>
      </c>
      <c r="B20" s="2" t="s">
        <v>53</v>
      </c>
      <c r="C20" s="2">
        <v>34</v>
      </c>
      <c r="D20" s="2"/>
      <c r="E20" s="2"/>
    </row>
    <row r="21" spans="1:5">
      <c r="A21" s="2" t="s">
        <v>36</v>
      </c>
      <c r="B21" s="2" t="s">
        <v>53</v>
      </c>
      <c r="C21" s="2">
        <v>29</v>
      </c>
      <c r="D21" s="2"/>
      <c r="E21" s="2"/>
    </row>
    <row r="22" spans="1:5">
      <c r="A22" s="2" t="s">
        <v>38</v>
      </c>
      <c r="B22" s="2" t="s">
        <v>53</v>
      </c>
      <c r="C22" s="2">
        <v>100</v>
      </c>
      <c r="D22" s="2"/>
      <c r="E2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topLeftCell="A7" workbookViewId="0">
      <selection activeCell="A27" sqref="A27"/>
    </sheetView>
  </sheetViews>
  <sheetFormatPr defaultRowHeight="15"/>
  <cols>
    <col min="1" max="1" width="23.28515625" customWidth="1"/>
    <col min="3" max="3" width="11.28515625" customWidth="1"/>
  </cols>
  <sheetData>
    <row r="1" spans="1:3">
      <c r="A1" s="1" t="s">
        <v>0</v>
      </c>
      <c r="B1" s="2"/>
      <c r="C1" s="2"/>
    </row>
    <row r="2" spans="1:3">
      <c r="A2" s="2" t="s">
        <v>1</v>
      </c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1" t="s">
        <v>2</v>
      </c>
      <c r="B5" s="2"/>
      <c r="C5" s="2"/>
    </row>
    <row r="6" spans="1:3">
      <c r="A6" s="2" t="s">
        <v>3</v>
      </c>
      <c r="B6" s="2"/>
      <c r="C6" s="2"/>
    </row>
    <row r="7" spans="1:3">
      <c r="A7" s="2" t="str">
        <f>PROPER(A6)</f>
        <v xml:space="preserve">   Kevin Cookie Company</v>
      </c>
      <c r="B7" s="2"/>
      <c r="C7" s="2"/>
    </row>
    <row r="8" spans="1:3">
      <c r="A8" s="2"/>
      <c r="B8" s="2"/>
      <c r="C8" s="2"/>
    </row>
    <row r="9" spans="1:3">
      <c r="A9" s="1" t="s">
        <v>4</v>
      </c>
      <c r="B9" s="2"/>
      <c r="C9" s="2"/>
    </row>
    <row r="10" spans="1:3">
      <c r="A10" s="2" t="s">
        <v>5</v>
      </c>
      <c r="B10" s="2" t="s">
        <v>6</v>
      </c>
      <c r="C10" s="2" t="s">
        <v>7</v>
      </c>
    </row>
    <row r="11" spans="1:3">
      <c r="A11" s="2" t="str">
        <f>CONCATENATE(A10,B10,C10)</f>
        <v>KevinCookieCompany</v>
      </c>
      <c r="B11" s="2"/>
      <c r="C11" s="2"/>
    </row>
    <row r="12" spans="1:3">
      <c r="A12" s="2"/>
      <c r="B12" s="2"/>
      <c r="C12" s="2"/>
    </row>
    <row r="13" spans="1:3">
      <c r="A13" s="1" t="s">
        <v>8</v>
      </c>
      <c r="B13" s="2"/>
      <c r="C13" s="2"/>
    </row>
    <row r="14" spans="1:3">
      <c r="A14" s="2" t="s">
        <v>5</v>
      </c>
      <c r="B14" s="2" t="s">
        <v>6</v>
      </c>
      <c r="C14" s="2" t="s">
        <v>7</v>
      </c>
    </row>
    <row r="15" spans="1:3">
      <c r="A15" s="2" t="str">
        <f>CONCATENATE(A14," ",B14," ",C14,)</f>
        <v>Kevin Cookie Company</v>
      </c>
      <c r="B15" s="2"/>
      <c r="C15" s="2"/>
    </row>
    <row r="16" spans="1:3">
      <c r="A16" s="2"/>
      <c r="B16" s="2"/>
      <c r="C16" s="2"/>
    </row>
    <row r="17" spans="1:3">
      <c r="A17" s="1" t="s">
        <v>9</v>
      </c>
      <c r="B17" s="2"/>
      <c r="C17" s="2"/>
    </row>
    <row r="18" spans="1:3">
      <c r="A18" s="2" t="s">
        <v>5</v>
      </c>
      <c r="B18" s="2" t="s">
        <v>6</v>
      </c>
      <c r="C18" s="2" t="s">
        <v>7</v>
      </c>
    </row>
    <row r="19" spans="1:3">
      <c r="A19" s="2" t="str">
        <f>CONCATENATE(A18,B18,C18)</f>
        <v>KevinCookieCompany</v>
      </c>
      <c r="B19" s="2"/>
      <c r="C19" s="2"/>
    </row>
    <row r="20" spans="1:3">
      <c r="A20" s="2"/>
      <c r="B20" s="2"/>
      <c r="C20" s="2"/>
    </row>
    <row r="21" spans="1:3">
      <c r="A21" s="1" t="s">
        <v>10</v>
      </c>
      <c r="B21" s="2"/>
      <c r="C21" s="2"/>
    </row>
    <row r="22" spans="1:3">
      <c r="A22" s="2" t="s">
        <v>11</v>
      </c>
      <c r="B22" s="2"/>
      <c r="C22" s="2"/>
    </row>
    <row r="23" spans="1:3">
      <c r="A23" s="2" t="str">
        <f>RIGHT(A22,5)</f>
        <v>05486</v>
      </c>
      <c r="B23" s="2"/>
      <c r="C23" s="2"/>
    </row>
    <row r="24" spans="1:3">
      <c r="A24" s="1" t="s">
        <v>12</v>
      </c>
      <c r="B24" s="2"/>
      <c r="C24" s="2"/>
    </row>
    <row r="25" spans="1:3">
      <c r="A25" s="2" t="s">
        <v>13</v>
      </c>
      <c r="B25" s="2"/>
      <c r="C25" s="2"/>
    </row>
    <row r="26" spans="1:3">
      <c r="A26" s="2">
        <f>LEN(A25)</f>
        <v>20</v>
      </c>
      <c r="B26" s="2"/>
      <c r="C2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topLeftCell="A10" workbookViewId="0">
      <selection activeCell="C24" sqref="C24"/>
    </sheetView>
  </sheetViews>
  <sheetFormatPr defaultRowHeight="15"/>
  <cols>
    <col min="1" max="1" width="29" customWidth="1"/>
    <col min="2" max="2" width="22.42578125" customWidth="1"/>
    <col min="3" max="3" width="55" customWidth="1"/>
    <col min="5" max="5" width="14.7109375" customWidth="1"/>
  </cols>
  <sheetData>
    <row r="1" spans="1:5">
      <c r="A1" s="1" t="s">
        <v>54</v>
      </c>
      <c r="B1" s="2"/>
      <c r="C1" s="2"/>
      <c r="D1" s="2"/>
      <c r="E1" s="2"/>
    </row>
    <row r="2" spans="1:5">
      <c r="A2" s="2" t="s">
        <v>13</v>
      </c>
      <c r="B2" s="2" t="s">
        <v>55</v>
      </c>
      <c r="C2" s="2" t="b">
        <f>A2=B2</f>
        <v>0</v>
      </c>
      <c r="D2" s="2"/>
      <c r="E2" s="2"/>
    </row>
    <row r="3" spans="1:5">
      <c r="A3" s="2">
        <v>10</v>
      </c>
      <c r="B3" s="2">
        <v>5</v>
      </c>
      <c r="C3" s="2" t="b">
        <f>A2=B2</f>
        <v>0</v>
      </c>
      <c r="D3" s="2"/>
      <c r="E3" s="2"/>
    </row>
    <row r="4" spans="1:5">
      <c r="A4" s="2"/>
      <c r="B4" s="2">
        <v>11</v>
      </c>
      <c r="C4" s="2" t="b">
        <f>A3&gt;B3</f>
        <v>1</v>
      </c>
      <c r="D4" s="2"/>
      <c r="E4" s="2"/>
    </row>
    <row r="5" spans="1:5">
      <c r="A5" s="2"/>
      <c r="B5" s="2"/>
      <c r="C5" s="2" t="b">
        <f>IF(B10&gt;B11,"SUGAR COOKIE")</f>
        <v>0</v>
      </c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1"/>
      <c r="B8" s="2"/>
      <c r="C8" s="2"/>
      <c r="D8" s="2"/>
      <c r="E8" s="2"/>
    </row>
    <row r="9" spans="1:5">
      <c r="A9" s="1" t="s">
        <v>27</v>
      </c>
      <c r="B9" s="1" t="s">
        <v>28</v>
      </c>
      <c r="C9" s="1" t="s">
        <v>56</v>
      </c>
      <c r="D9" s="2"/>
      <c r="E9" s="2"/>
    </row>
    <row r="10" spans="1:5">
      <c r="A10" s="2" t="s">
        <v>14</v>
      </c>
      <c r="B10" s="2">
        <v>97</v>
      </c>
      <c r="C10" s="2" t="s">
        <v>57</v>
      </c>
      <c r="D10" s="2"/>
      <c r="E10" s="2"/>
    </row>
    <row r="11" spans="1:5">
      <c r="A11" s="2" t="s">
        <v>15</v>
      </c>
      <c r="B11" s="2">
        <v>150</v>
      </c>
      <c r="C11" s="2"/>
      <c r="D11" s="2"/>
      <c r="E11" s="2"/>
    </row>
    <row r="12" spans="1:5">
      <c r="A12" s="2" t="s">
        <v>16</v>
      </c>
      <c r="B12" s="2">
        <v>150</v>
      </c>
      <c r="C12" s="2"/>
      <c r="D12" s="2"/>
      <c r="E12" s="2"/>
    </row>
    <row r="13" spans="1:5">
      <c r="A13" s="2"/>
      <c r="B13" s="2"/>
      <c r="C13" s="1" t="s">
        <v>58</v>
      </c>
      <c r="D13" s="2"/>
      <c r="E13" s="2"/>
    </row>
    <row r="14" spans="1:5">
      <c r="A14" s="2"/>
      <c r="B14" s="2"/>
      <c r="C14" s="2" t="s">
        <v>59</v>
      </c>
      <c r="D14" s="2"/>
      <c r="E14" s="2"/>
    </row>
    <row r="15" spans="1:5">
      <c r="A15" s="2"/>
      <c r="B15" s="2"/>
      <c r="C15" s="2" t="str">
        <f>IF(AND(B10&lt;B11,B10&lt;B12),"yes","no")</f>
        <v>yes</v>
      </c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1" t="s">
        <v>60</v>
      </c>
      <c r="D17" s="2"/>
      <c r="E17" s="2"/>
    </row>
    <row r="18" spans="1:5">
      <c r="A18" s="2"/>
      <c r="B18" s="2"/>
      <c r="C18" s="2" t="s">
        <v>61</v>
      </c>
      <c r="D18" s="2"/>
      <c r="E18" s="2"/>
    </row>
    <row r="19" spans="1:5">
      <c r="A19" s="2"/>
      <c r="B19" s="2"/>
      <c r="C19" s="2" t="str">
        <f>IF(OR(B10&gt;B11,B12&gt;B11),"yes","no")</f>
        <v>no</v>
      </c>
      <c r="D19" s="2"/>
      <c r="E19" s="2"/>
    </row>
    <row r="20" spans="1:5">
      <c r="A20" s="2"/>
      <c r="B20" s="2"/>
      <c r="C20" s="2"/>
      <c r="D20" s="2"/>
      <c r="E20" s="2"/>
    </row>
    <row r="21" spans="1:5">
      <c r="A21" s="1" t="s">
        <v>62</v>
      </c>
      <c r="B21" s="1" t="s">
        <v>63</v>
      </c>
      <c r="C21" s="1" t="s">
        <v>64</v>
      </c>
      <c r="D21" s="2"/>
      <c r="E21" s="2"/>
    </row>
    <row r="22" spans="1:5">
      <c r="A22" s="2" t="s">
        <v>14</v>
      </c>
      <c r="B22" s="2">
        <v>10</v>
      </c>
      <c r="C22" s="2" t="s">
        <v>65</v>
      </c>
      <c r="D22" s="2"/>
      <c r="E22" s="1" t="s">
        <v>16</v>
      </c>
    </row>
    <row r="23" spans="1:5">
      <c r="A23" s="2" t="s">
        <v>15</v>
      </c>
      <c r="B23" s="2">
        <v>8</v>
      </c>
      <c r="C23" s="2">
        <f>IF(E22=A22,B22,IF(E22=A23,B23,IF(E22=A24,B24,"unknown")))</f>
        <v>5</v>
      </c>
      <c r="D23" s="2"/>
      <c r="E23" s="2"/>
    </row>
    <row r="24" spans="1:5">
      <c r="A24" s="2" t="s">
        <v>16</v>
      </c>
      <c r="B24" s="2">
        <v>5</v>
      </c>
      <c r="C24" s="2"/>
      <c r="D24" s="2"/>
      <c r="E2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E7" sqref="E7"/>
    </sheetView>
  </sheetViews>
  <sheetFormatPr defaultRowHeight="15"/>
  <cols>
    <col min="1" max="1" width="16.28515625" customWidth="1"/>
    <col min="4" max="4" width="14" customWidth="1"/>
    <col min="5" max="5" width="22.7109375" customWidth="1"/>
    <col min="6" max="6" width="18.7109375" customWidth="1"/>
  </cols>
  <sheetData>
    <row r="1" spans="1:6">
      <c r="A1" s="1" t="s">
        <v>62</v>
      </c>
      <c r="B1" s="1" t="s">
        <v>63</v>
      </c>
      <c r="C1" s="1" t="s">
        <v>20</v>
      </c>
      <c r="D1" s="1"/>
      <c r="E1" s="1" t="s">
        <v>66</v>
      </c>
      <c r="F1" s="2"/>
    </row>
    <row r="2" spans="1:6">
      <c r="A2" s="2" t="s">
        <v>14</v>
      </c>
      <c r="B2" s="2">
        <v>10</v>
      </c>
      <c r="C2" s="2">
        <v>4</v>
      </c>
      <c r="D2" s="2"/>
      <c r="E2" s="2" t="s">
        <v>65</v>
      </c>
      <c r="F2" s="2" t="s">
        <v>16</v>
      </c>
    </row>
    <row r="3" spans="1:6">
      <c r="A3" s="2" t="s">
        <v>15</v>
      </c>
      <c r="B3" s="2">
        <v>8</v>
      </c>
      <c r="C3" s="2">
        <v>3</v>
      </c>
      <c r="D3" s="5">
        <f>VLOOKUP(F2,A1:C4,2,FALSE)</f>
        <v>5</v>
      </c>
      <c r="E3" s="5"/>
      <c r="F3" s="2"/>
    </row>
    <row r="4" spans="1:6">
      <c r="A4" s="2" t="s">
        <v>16</v>
      </c>
      <c r="B4" s="2">
        <v>5</v>
      </c>
      <c r="C4" s="2">
        <v>2</v>
      </c>
      <c r="D4" s="5"/>
      <c r="E4" s="5"/>
      <c r="F4" s="2"/>
    </row>
    <row r="5" spans="1:6">
      <c r="A5" s="2"/>
      <c r="B5" s="2"/>
      <c r="C5" s="2"/>
      <c r="D5" s="2"/>
      <c r="E5" s="1" t="s">
        <v>67</v>
      </c>
      <c r="F5" s="2"/>
    </row>
    <row r="6" spans="1:6">
      <c r="A6" s="2"/>
      <c r="B6" s="2"/>
      <c r="C6" s="2"/>
      <c r="D6" s="2"/>
      <c r="E6" s="2" t="s">
        <v>65</v>
      </c>
      <c r="F6" s="2" t="s">
        <v>14</v>
      </c>
    </row>
  </sheetData>
  <mergeCells count="2">
    <mergeCell ref="D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FORMULA FUDAMENTALS</vt:lpstr>
      <vt:lpstr>TAX RATE</vt:lpstr>
      <vt:lpstr>ORDER OF OPERATION</vt:lpstr>
      <vt:lpstr>BASIC FUNCTION</vt:lpstr>
      <vt:lpstr>conditional funtion</vt:lpstr>
      <vt:lpstr>TEXT FUNCTION</vt:lpstr>
      <vt:lpstr>LOGICAL FUNCTION SHEET</vt:lpstr>
      <vt:lpstr>lookup funtion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2026-03-07T14:26:49Z</dcterms:created>
  <dcterms:modified xsi:type="dcterms:W3CDTF">2026-03-07T18:31:26Z</dcterms:modified>
</cp:coreProperties>
</file>